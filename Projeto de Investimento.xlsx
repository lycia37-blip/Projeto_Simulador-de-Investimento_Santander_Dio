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74cebdfc1fd99d/0_Santander_DIO/Projeto de Investimento/"/>
    </mc:Choice>
  </mc:AlternateContent>
  <xr:revisionPtr revIDLastSave="527" documentId="8_{3F42ACC6-2BC7-5041-8BC7-ED02709A2C8F}" xr6:coauthVersionLast="47" xr6:coauthVersionMax="47" xr10:uidLastSave="{30153BB6-6586-8B43-B970-43F6935E5695}"/>
  <bookViews>
    <workbookView xWindow="0" yWindow="600" windowWidth="28800" windowHeight="16140" xr2:uid="{AA32303E-1C30-CD4C-93D9-C15625FD8A00}"/>
  </bookViews>
  <sheets>
    <sheet name="Simulador" sheetId="3" r:id="rId1"/>
    <sheet name="Dados_Procv" sheetId="4" state="hidden" r:id="rId2"/>
    <sheet name="Orientações do Projeto" sheetId="2" state="hidden" r:id="rId3"/>
  </sheets>
  <definedNames>
    <definedName name="Aporte">Simulador!$E$23</definedName>
    <definedName name="Patrimonio">Simulador!$E$26</definedName>
    <definedName name="Qty_anos">Simulador!$E$24</definedName>
    <definedName name="Rendimento_Carteira">Simulador!$E$18</definedName>
    <definedName name="Salario">Simulador!$E$17</definedName>
    <definedName name="Sugestao_Investimento">Simulador!$E$19</definedName>
    <definedName name="Taxa_mensal">Simulador!$E$25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4" i="3" l="1"/>
  <c r="D45" i="3"/>
  <c r="D46" i="3"/>
  <c r="D47" i="3"/>
  <c r="D48" i="3"/>
  <c r="D43" i="3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" i="4"/>
  <c r="E40" i="3"/>
  <c r="D36" i="3"/>
  <c r="E36" i="3" s="1"/>
  <c r="D35" i="3"/>
  <c r="E35" i="3" s="1"/>
  <c r="D34" i="3"/>
  <c r="E34" i="3" s="1"/>
  <c r="D33" i="3"/>
  <c r="E33" i="3" s="1"/>
  <c r="D32" i="3"/>
  <c r="E32" i="3" s="1"/>
  <c r="E26" i="3"/>
  <c r="E27" i="3" s="1"/>
  <c r="E19" i="3"/>
  <c r="E43" i="3" l="1"/>
  <c r="E48" i="3"/>
  <c r="E47" i="3"/>
  <c r="E46" i="3"/>
  <c r="E45" i="3"/>
  <c r="E44" i="3"/>
  <c r="E49" i="3" l="1"/>
</calcChain>
</file>

<file path=xl/sharedStrings.xml><?xml version="1.0" encoding="utf-8"?>
<sst xmlns="http://schemas.openxmlformats.org/spreadsheetml/2006/main" count="126" uniqueCount="87">
  <si>
    <t>Entendendo o Desafio</t>
  </si>
  <si>
    <t>Agora é a sua hora de praticar, aprender fazendo e construir no Excel uma ferramenta que simula investimentos em fundos imobiliários, do aporte de cada mês aos dividendos que ele rende.</t>
  </si>
  <si>
    <t>Nas Aulas, o Expert Felipe Aguiar, o Felipão, explica o básico de fundos imobiliários e monta a ferramenta com você, passo a passo. Não existe base de dados para baixar: todo valor e todo percentual que ele usa aparece na tela.</t>
  </si>
  <si>
    <t>O Que Criar</t>
  </si>
  <si>
    <t>Uma planilha com cara de aplicativo, que responda às cinco perguntas de negócio levantadas antes de abrir o Excel:</t>
  </si>
  <si>
    <t>Quanto investir por mês;</t>
  </si>
  <si>
    <t>Por quantos anos;</t>
  </si>
  <si>
    <t>Qual a taxa de rendimento mensal;</t>
  </si>
  <si>
    <t>Quanto de patrimônio vai acumular;</t>
  </si>
  <si>
    <t>Quanto vai receber de dividendos por mês.</t>
  </si>
  <si>
    <t>Ela também projeta o patrimônio em cenários de 2 a 30 anos e divide o aporte entre seis tipos de fundo imobiliário, conforme o perfil de investidor escolhido numa lista.</t>
  </si>
  <si>
    <t>Como Fazer</t>
  </si>
  <si>
    <t>Não há repositório base. Abra uma pasta de trabalho em branco e siga o caminho do Expert:</t>
  </si>
  <si>
    <r>
      <t>Monte a tela.</t>
    </r>
    <r>
      <rPr>
        <sz val="14"/>
        <color rgb="FF23282C"/>
        <rFont val="Helvetica Neue"/>
        <family val="2"/>
      </rPr>
      <t xml:space="preserve"> Coloque um banner com o nome da sua ferramenta, esconda as linhas de grade e pinte de cinza as células calculadas, que ninguém deve editar;</t>
    </r>
  </si>
  <si>
    <r>
      <t>Calcule o patrimônio.</t>
    </r>
    <r>
      <rPr>
        <sz val="14"/>
        <color rgb="FF23282C"/>
        <rFont val="Helvetica Neue"/>
        <family val="2"/>
      </rPr>
      <t xml:space="preserve"> Com a função </t>
    </r>
    <r>
      <rPr>
        <sz val="12"/>
        <color rgb="FFF314B5"/>
        <rFont val="Menlo"/>
        <family val="2"/>
      </rPr>
      <t>VF</t>
    </r>
    <r>
      <rPr>
        <sz val="14"/>
        <color rgb="FF23282C"/>
        <rFont val="Helvetica Neue"/>
        <family val="2"/>
      </rPr>
      <t>, chegue ao patrimônio acumulado e, a partir dele, aos dividendos mensais;</t>
    </r>
  </si>
  <si>
    <r>
      <t>Projete os cenários.</t>
    </r>
    <r>
      <rPr>
        <sz val="14"/>
        <color rgb="FF23282C"/>
        <rFont val="Helvetica Neue"/>
        <family val="2"/>
      </rPr>
      <t xml:space="preserve"> Repita o cálculo para 2, 5, 10, 20 e 30 anos, com referências absolutas para a fórmula não se perder ao arrastar;</t>
    </r>
  </si>
  <si>
    <r>
      <t>Crie as configurações.</t>
    </r>
    <r>
      <rPr>
        <sz val="14"/>
        <color rgb="FF23282C"/>
        <rFont val="Helvetica Neue"/>
        <family val="2"/>
      </rPr>
      <t xml:space="preserve"> Salário, rendimento da carteira e a sugestão de aporte de 30% do salário. Depois, troque os endereços de célula por intervalos nomeados, como </t>
    </r>
    <r>
      <rPr>
        <sz val="12"/>
        <color rgb="FFF314B5"/>
        <rFont val="Menlo"/>
        <family val="2"/>
      </rPr>
      <t>aporte</t>
    </r>
    <r>
      <rPr>
        <sz val="14"/>
        <color rgb="FF23282C"/>
        <rFont val="Helvetica Neue"/>
        <family val="2"/>
      </rPr>
      <t xml:space="preserve"> e </t>
    </r>
    <r>
      <rPr>
        <sz val="12"/>
        <color rgb="FFF314B5"/>
        <rFont val="Menlo"/>
        <family val="2"/>
      </rPr>
      <t>taxa_mensal</t>
    </r>
    <r>
      <rPr>
        <sz val="14"/>
        <color rgb="FF23282C"/>
        <rFont val="Helvetica Neue"/>
        <family val="2"/>
      </rPr>
      <t>;</t>
    </r>
  </si>
  <si>
    <r>
      <t>Divida por perfil.</t>
    </r>
    <r>
      <rPr>
        <sz val="14"/>
        <color rgb="FF23282C"/>
        <rFont val="Helvetica Neue"/>
        <family val="2"/>
      </rPr>
      <t xml:space="preserve"> Crie a lista de perfis com validação de dados. Numa aba de apoio, monte a tabela de perfil, tipo de fundo e percentual, e traga cada percentual com </t>
    </r>
    <r>
      <rPr>
        <sz val="12"/>
        <color rgb="FFF314B5"/>
        <rFont val="Menlo"/>
        <family val="2"/>
      </rPr>
      <t>PROCV</t>
    </r>
    <r>
      <rPr>
        <sz val="14"/>
        <color rgb="FF23282C"/>
        <rFont val="Helvetica Neue"/>
        <family val="2"/>
      </rPr>
      <t xml:space="preserve"> e uma chave composta.</t>
    </r>
  </si>
  <si>
    <t>O banner do Expert é opcional. Os percentuais de cada perfil também são só um exemplo, não recomendação de investimento: use os seus, desde que cada perfil some 100%.</t>
  </si>
  <si>
    <t>Terminou? Compare com a planilha resolvida do Expert. Ela serve para conferir o resultado, não para começar.</t>
  </si>
  <si>
    <t>Ideias para Evoluir</t>
  </si>
  <si>
    <t>Um gráfico de pizza com a divisão do aporte, que mude junto com o perfil;</t>
  </si>
  <si>
    <t>Uma segunda simulação que use a sugestão de 30% do salário no lugar do aporte informado;</t>
  </si>
  <si>
    <t>Novas projeções, sempre com tabela de apoio e intervalos nomeados;</t>
  </si>
  <si>
    <t>Esconder a barra de fórmulas, os títulos e as guias na versão final;</t>
  </si>
  <si>
    <t>Outra ferramenta com as mesmas técnicas, como o planejamento do dinheiro das férias.</t>
  </si>
  <si>
    <t>Se você ainda está começando, tudo bem. Faça primeiro as cinco perguntas funcionarem. Os cenários e a divisão por perfil vêm depois, e uma parte bem feita e bem explicada vale mais que a ferramenta inteira pela metade.</t>
  </si>
  <si>
    <t>Uma Ajuda durante o Caminho</t>
  </si>
  <si>
    <t>Se alguma fórmula não fechar, o DIO Agent ajuda a entender o que está acontecendo:</t>
  </si>
  <si>
    <t>Estou montando no Excel um simulador de investimento em</t>
  </si>
  <si>
    <t>fundos imobiliários, com aporte mensal, prazo em anos e taxa</t>
  </si>
  <si>
    <t>de rendimento mensal.</t>
  </si>
  <si>
    <t>Me ajude a entender o que cada argumento da função VF faz,</t>
  </si>
  <si>
    <t>e como uma chave composta deixa o PROCV achar o percentual</t>
  </si>
  <si>
    <t>de cada tipo de fundo para cada perfil.</t>
  </si>
  <si>
    <t>Importante: não quero uma resposta pronta para copiar.</t>
  </si>
  <si>
    <t>Quero entender o processo e construir a minha.</t>
  </si>
  <si>
    <t>O Que Entregar</t>
  </si>
  <si>
    <r>
      <t xml:space="preserve">Suba a sua planilha para um repositório público no GitHub. No </t>
    </r>
    <r>
      <rPr>
        <sz val="12"/>
        <color rgb="FFF314B5"/>
        <rFont val="Menlo"/>
        <family val="2"/>
      </rPr>
      <t>README.md</t>
    </r>
    <r>
      <rPr>
        <sz val="14"/>
        <color rgb="FF23282C"/>
        <rFont val="Helvetica Neue"/>
        <family val="2"/>
      </rPr>
      <t>, explique:</t>
    </r>
  </si>
  <si>
    <t>As perguntas que a ferramenta responde, e onde aparece cada resposta;</t>
  </si>
  <si>
    <r>
      <t xml:space="preserve">Como o </t>
    </r>
    <r>
      <rPr>
        <sz val="12"/>
        <color rgb="FFF314B5"/>
        <rFont val="Menlo"/>
        <family val="2"/>
      </rPr>
      <t>VF</t>
    </r>
    <r>
      <rPr>
        <sz val="14"/>
        <color rgb="FF23282C"/>
        <rFont val="Helvetica Neue"/>
        <family val="2"/>
      </rPr>
      <t xml:space="preserve"> e o </t>
    </r>
    <r>
      <rPr>
        <sz val="12"/>
        <color rgb="FFF314B5"/>
        <rFont val="Menlo"/>
        <family val="2"/>
      </rPr>
      <t>PROCV</t>
    </r>
    <r>
      <rPr>
        <sz val="14"/>
        <color rgb="FF23282C"/>
        <rFont val="Helvetica Neue"/>
        <family val="2"/>
      </rPr>
      <t xml:space="preserve"> entram nos cálculos;</t>
    </r>
  </si>
  <si>
    <t>Os intervalos nomeados que você criou;</t>
  </si>
  <si>
    <t>Os percentuais de cada perfil, e de onde vieram;</t>
  </si>
  <si>
    <t>O que você mudou em relação à ferramenta do Expert.</t>
  </si>
  <si>
    <t>Prints da ferramenta preenchida, com a mesma simulação em dois perfis, contam muito. Evidência de que a planilha funciona é o que mais pesa no portfólio.</t>
  </si>
  <si>
    <t>Antes de submeter, confira:</t>
  </si>
  <si>
    <t>A planilha abre sem erro de fórmula e responde às cinco perguntas;</t>
  </si>
  <si>
    <t>Trocar o perfil na lista muda a divisão do aporte, e cada perfil soma 100%;</t>
  </si>
  <si>
    <t>O salário e os valores do arquivo publicado são de exemplo, não os seus;</t>
  </si>
  <si>
    <t>O link enviado é o do repositório, não o da planilha;</t>
  </si>
  <si>
    <t>O repositório está na sua conta e público;</t>
  </si>
  <si>
    <t>O nome do repositório ficou legível, em minúsculas e sem acento.</t>
  </si>
  <si>
    <t>Resultado Esperado</t>
  </si>
  <si>
    <t>Ao final, você terá uma ferramenta que qualquer pessoa usa sem saber fórmula nenhuma, e um repositório que mostra como ela funciona por dentro. Quem abrir vê o que o Felipão destaca nesse tipo de projeto: você entende a área de negócio e sabe usar o Excel para resolver um problema dela.</t>
  </si>
  <si>
    <t>Bons estudos e bom projeto 🚀</t>
  </si>
  <si>
    <t>Quanto eu devo investir por mês?</t>
  </si>
  <si>
    <t>Por quantos anos devo investir?</t>
  </si>
  <si>
    <t>INVESTIMENTO MENSAL</t>
  </si>
  <si>
    <t>Patrimônio Acumulado?</t>
  </si>
  <si>
    <t>Taxa de rendimento mensal?</t>
  </si>
  <si>
    <t>CENÁRIOS</t>
  </si>
  <si>
    <t>Investido em anos</t>
  </si>
  <si>
    <t>Dividendos Mensais?</t>
  </si>
  <si>
    <t>Rendimento da Carteira</t>
  </si>
  <si>
    <t>Salário</t>
  </si>
  <si>
    <t>CONFIGURAÇÕES</t>
  </si>
  <si>
    <t>qty anos</t>
  </si>
  <si>
    <t>Patrimônio</t>
  </si>
  <si>
    <t>PERFIS</t>
  </si>
  <si>
    <t>PERFIL</t>
  </si>
  <si>
    <t>Dividendo</t>
  </si>
  <si>
    <t>MODERADO</t>
  </si>
  <si>
    <t>Valor a ser investido por mês</t>
  </si>
  <si>
    <t>Percentual Sugerido</t>
  </si>
  <si>
    <t>Valores</t>
  </si>
  <si>
    <t>PAPEL</t>
  </si>
  <si>
    <t>TIJOLO</t>
  </si>
  <si>
    <t>TIPOS DE FII</t>
  </si>
  <si>
    <t>HIBRÍDOS</t>
  </si>
  <si>
    <t>FOF'S</t>
  </si>
  <si>
    <t>DESENVOLVIMENTO</t>
  </si>
  <si>
    <t>HOTELARIAS</t>
  </si>
  <si>
    <t>CONSERVADOR</t>
  </si>
  <si>
    <t>AGRESSIVO</t>
  </si>
  <si>
    <t>CHAVE COMPOSTA</t>
  </si>
  <si>
    <t>%</t>
  </si>
  <si>
    <t>Sugestão de Investimento 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</si>
</sst>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0.000%"/>
    <numFmt numFmtId="165" formatCode="&quot;R$&quot;\ #,##0.00"/>
  </numFmts>
  <fonts count="17">
    <font>
      <sz val="12"/>
      <color theme="1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24"/>
      <color rgb="FF23282C"/>
      <name val="Helvetica Neue"/>
      <family val="2"/>
    </font>
    <font>
      <sz val="14"/>
      <color rgb="FF23282C"/>
      <name val="Helvetica Neue"/>
      <family val="2"/>
    </font>
    <font>
      <sz val="18"/>
      <color rgb="FF23282C"/>
      <name val="Helvetica Neue"/>
      <family val="2"/>
    </font>
    <font>
      <b/>
      <sz val="14"/>
      <color rgb="FF23282C"/>
      <name val="Helvetica Neue"/>
      <family val="2"/>
    </font>
    <font>
      <sz val="12"/>
      <color rgb="FFF314B5"/>
      <name val="Menlo"/>
      <family val="2"/>
    </font>
    <font>
      <sz val="10"/>
      <color rgb="FF23282C"/>
      <name val="Menlo"/>
      <family val="2"/>
    </font>
    <font>
      <u/>
      <sz val="12"/>
      <color theme="10"/>
      <name val="Aptos Narrow"/>
      <family val="2"/>
      <scheme val="minor"/>
    </font>
    <font>
      <b/>
      <sz val="20"/>
      <color theme="0"/>
      <name val="Aptos Narrow"/>
      <scheme val="minor"/>
    </font>
    <font>
      <sz val="14"/>
      <color theme="1"/>
      <name val="Aptos Narrow"/>
      <family val="2"/>
      <scheme val="minor"/>
    </font>
    <font>
      <b/>
      <sz val="12"/>
      <color theme="0"/>
      <name val="Aptos Narrow"/>
      <scheme val="minor"/>
    </font>
    <font>
      <sz val="12"/>
      <color theme="1"/>
      <name val="Aptos Narrow"/>
      <scheme val="minor"/>
    </font>
    <font>
      <b/>
      <sz val="12"/>
      <name val="Aptos Narrow"/>
      <scheme val="minor"/>
    </font>
    <font>
      <b/>
      <sz val="12"/>
      <color theme="1"/>
      <name val="Aptos Narrow"/>
      <scheme val="minor"/>
    </font>
    <font>
      <b/>
      <u/>
      <sz val="20"/>
      <color theme="0"/>
      <name val="Aptos Narrow"/>
      <scheme val="minor"/>
    </font>
    <font>
      <sz val="12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</fills>
  <borders count="2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ck">
        <color auto="1"/>
      </right>
      <top/>
      <bottom style="thin">
        <color theme="0" tint="-0.14996795556505021"/>
      </bottom>
      <diagonal/>
    </border>
    <border>
      <left style="thick">
        <color auto="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ck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auto="1"/>
      </left>
      <right style="thin">
        <color theme="0" tint="-0.14996795556505021"/>
      </right>
      <top style="thin">
        <color theme="0" tint="-0.14996795556505021"/>
      </top>
      <bottom style="thick">
        <color auto="1"/>
      </bottom>
      <diagonal/>
    </border>
    <border>
      <left style="thin">
        <color theme="0" tint="-0.14996795556505021"/>
      </left>
      <right style="thick">
        <color auto="1"/>
      </right>
      <top style="thin">
        <color theme="0" tint="-0.1499679555650502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ck">
        <color auto="1"/>
      </bottom>
      <diagonal/>
    </border>
    <border>
      <left style="thick">
        <color auto="1"/>
      </left>
      <right/>
      <top/>
      <bottom style="thin">
        <color theme="0" tint="-0.14996795556505021"/>
      </bottom>
      <diagonal/>
    </border>
    <border>
      <left style="thick">
        <color auto="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auto="1"/>
      </left>
      <right/>
      <top style="thin">
        <color theme="0" tint="-0.14996795556505021"/>
      </top>
      <bottom style="thick">
        <color auto="1"/>
      </bottom>
      <diagonal/>
    </border>
    <border>
      <left/>
      <right style="thick">
        <color auto="1"/>
      </right>
      <top/>
      <bottom style="thin">
        <color theme="0" tint="-0.14996795556505021"/>
      </bottom>
      <diagonal/>
    </border>
    <border>
      <left/>
      <right style="thick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ck">
        <color auto="1"/>
      </right>
      <top style="thin">
        <color theme="0" tint="-0.14996795556505021"/>
      </top>
      <bottom style="thick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ck">
        <color auto="1"/>
      </bottom>
      <diagonal/>
    </border>
    <border>
      <left/>
      <right/>
      <top/>
      <bottom style="medium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8" fillId="0" borderId="0" applyNumberFormat="0" applyFill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8" fillId="0" borderId="0" xfId="2"/>
    <xf numFmtId="0" fontId="7" fillId="0" borderId="0" xfId="0" applyFont="1"/>
    <xf numFmtId="8" fontId="10" fillId="0" borderId="0" xfId="0" applyNumberFormat="1" applyFont="1"/>
    <xf numFmtId="0" fontId="9" fillId="3" borderId="11" xfId="0" applyFont="1" applyFill="1" applyBorder="1" applyAlignment="1">
      <alignment vertical="center"/>
    </xf>
    <xf numFmtId="0" fontId="9" fillId="3" borderId="2" xfId="0" applyFont="1" applyFill="1" applyBorder="1" applyAlignment="1">
      <alignment vertical="center"/>
    </xf>
    <xf numFmtId="9" fontId="0" fillId="0" borderId="0" xfId="0" applyNumberFormat="1"/>
    <xf numFmtId="0" fontId="9" fillId="3" borderId="3" xfId="0" applyFont="1" applyFill="1" applyBorder="1" applyAlignment="1">
      <alignment vertical="center"/>
    </xf>
    <xf numFmtId="0" fontId="9" fillId="3" borderId="0" xfId="0" applyFont="1" applyFill="1" applyAlignment="1">
      <alignment horizontal="right" vertical="center"/>
    </xf>
    <xf numFmtId="0" fontId="9" fillId="3" borderId="4" xfId="0" applyFont="1" applyFill="1" applyBorder="1" applyAlignment="1">
      <alignment horizontal="right" vertical="center"/>
    </xf>
    <xf numFmtId="0" fontId="12" fillId="6" borderId="12" xfId="0" applyFont="1" applyFill="1" applyBorder="1"/>
    <xf numFmtId="8" fontId="12" fillId="6" borderId="12" xfId="0" applyNumberFormat="1" applyFont="1" applyFill="1" applyBorder="1"/>
    <xf numFmtId="8" fontId="12" fillId="5" borderId="18" xfId="0" applyNumberFormat="1" applyFont="1" applyFill="1" applyBorder="1"/>
    <xf numFmtId="0" fontId="12" fillId="6" borderId="13" xfId="0" applyFont="1" applyFill="1" applyBorder="1"/>
    <xf numFmtId="8" fontId="12" fillId="6" borderId="13" xfId="0" applyNumberFormat="1" applyFont="1" applyFill="1" applyBorder="1"/>
    <xf numFmtId="8" fontId="12" fillId="5" borderId="19" xfId="0" applyNumberFormat="1" applyFont="1" applyFill="1" applyBorder="1"/>
    <xf numFmtId="0" fontId="12" fillId="6" borderId="14" xfId="0" applyFont="1" applyFill="1" applyBorder="1"/>
    <xf numFmtId="8" fontId="12" fillId="6" borderId="14" xfId="0" applyNumberFormat="1" applyFont="1" applyFill="1" applyBorder="1"/>
    <xf numFmtId="8" fontId="12" fillId="5" borderId="20" xfId="0" applyNumberFormat="1" applyFont="1" applyFill="1" applyBorder="1"/>
    <xf numFmtId="165" fontId="14" fillId="0" borderId="6" xfId="0" applyNumberFormat="1" applyFont="1" applyBorder="1" applyAlignment="1">
      <alignment horizontal="right"/>
    </xf>
    <xf numFmtId="0" fontId="14" fillId="0" borderId="8" xfId="0" applyFont="1" applyBorder="1" applyAlignment="1">
      <alignment horizontal="right"/>
    </xf>
    <xf numFmtId="164" fontId="14" fillId="0" borderId="8" xfId="0" applyNumberFormat="1" applyFont="1" applyBorder="1" applyAlignment="1">
      <alignment horizontal="right"/>
    </xf>
    <xf numFmtId="8" fontId="13" fillId="6" borderId="8" xfId="0" applyNumberFormat="1" applyFont="1" applyFill="1" applyBorder="1" applyAlignment="1">
      <alignment horizontal="right"/>
    </xf>
    <xf numFmtId="8" fontId="13" fillId="6" borderId="10" xfId="0" applyNumberFormat="1" applyFont="1" applyFill="1" applyBorder="1" applyAlignment="1">
      <alignment horizontal="right"/>
    </xf>
    <xf numFmtId="0" fontId="15" fillId="3" borderId="1" xfId="0" applyFont="1" applyFill="1" applyBorder="1" applyAlignment="1">
      <alignment vertical="center"/>
    </xf>
    <xf numFmtId="0" fontId="9" fillId="4" borderId="2" xfId="0" applyFont="1" applyFill="1" applyBorder="1" applyAlignment="1">
      <alignment vertical="center"/>
    </xf>
    <xf numFmtId="165" fontId="12" fillId="0" borderId="6" xfId="0" applyNumberFormat="1" applyFont="1" applyBorder="1"/>
    <xf numFmtId="10" fontId="12" fillId="0" borderId="8" xfId="0" applyNumberFormat="1" applyFont="1" applyBorder="1"/>
    <xf numFmtId="0" fontId="12" fillId="6" borderId="15" xfId="0" applyFont="1" applyFill="1" applyBorder="1" applyAlignment="1">
      <alignment horizontal="left" indent="3"/>
    </xf>
    <xf numFmtId="0" fontId="12" fillId="6" borderId="16" xfId="0" applyFont="1" applyFill="1" applyBorder="1" applyAlignment="1">
      <alignment horizontal="left" indent="3"/>
    </xf>
    <xf numFmtId="0" fontId="12" fillId="6" borderId="17" xfId="0" applyFont="1" applyFill="1" applyBorder="1" applyAlignment="1">
      <alignment horizontal="left" indent="3"/>
    </xf>
    <xf numFmtId="8" fontId="16" fillId="6" borderId="10" xfId="0" applyNumberFormat="1" applyFont="1" applyFill="1" applyBorder="1" applyAlignment="1">
      <alignment horizontal="right"/>
    </xf>
    <xf numFmtId="0" fontId="1" fillId="2" borderId="0" xfId="1" applyBorder="1" applyAlignment="1">
      <alignment horizontal="left" indent="3"/>
    </xf>
    <xf numFmtId="0" fontId="1" fillId="2" borderId="0" xfId="1"/>
    <xf numFmtId="0" fontId="1" fillId="2" borderId="0" xfId="1" applyAlignment="1">
      <alignment horizontal="right"/>
    </xf>
    <xf numFmtId="165" fontId="0" fillId="0" borderId="0" xfId="0" applyNumberFormat="1" applyAlignment="1">
      <alignment horizontal="right"/>
    </xf>
    <xf numFmtId="9" fontId="0" fillId="0" borderId="0" xfId="0" applyNumberFormat="1" applyAlignment="1">
      <alignment horizontal="center"/>
    </xf>
    <xf numFmtId="0" fontId="0" fillId="0" borderId="24" xfId="0" applyBorder="1"/>
    <xf numFmtId="9" fontId="0" fillId="0" borderId="24" xfId="0" applyNumberFormat="1" applyBorder="1"/>
    <xf numFmtId="0" fontId="11" fillId="7" borderId="0" xfId="0" applyFont="1" applyFill="1"/>
    <xf numFmtId="0" fontId="14" fillId="6" borderId="0" xfId="0" applyFont="1" applyFill="1"/>
    <xf numFmtId="165" fontId="14" fillId="6" borderId="0" xfId="0" applyNumberFormat="1" applyFont="1" applyFill="1"/>
    <xf numFmtId="0" fontId="11" fillId="8" borderId="0" xfId="0" applyFont="1" applyFill="1"/>
    <xf numFmtId="0" fontId="11" fillId="8" borderId="0" xfId="0" applyFont="1" applyFill="1" applyAlignment="1">
      <alignment horizontal="right"/>
    </xf>
    <xf numFmtId="165" fontId="11" fillId="8" borderId="0" xfId="0" applyNumberFormat="1" applyFont="1" applyFill="1" applyAlignment="1">
      <alignment horizontal="right"/>
    </xf>
    <xf numFmtId="0" fontId="0" fillId="0" borderId="0" xfId="0" applyAlignment="1">
      <alignment horizontal="center"/>
    </xf>
    <xf numFmtId="0" fontId="11" fillId="8" borderId="0" xfId="0" applyFont="1" applyFill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left" indent="3"/>
    </xf>
    <xf numFmtId="0" fontId="12" fillId="0" borderId="21" xfId="0" applyFont="1" applyBorder="1" applyAlignment="1">
      <alignment horizontal="left" indent="3"/>
    </xf>
    <xf numFmtId="0" fontId="12" fillId="0" borderId="7" xfId="0" applyFont="1" applyBorder="1" applyAlignment="1">
      <alignment horizontal="left" indent="3"/>
    </xf>
    <xf numFmtId="0" fontId="12" fillId="0" borderId="22" xfId="0" applyFont="1" applyBorder="1" applyAlignment="1">
      <alignment horizontal="left" indent="3"/>
    </xf>
    <xf numFmtId="0" fontId="13" fillId="6" borderId="7" xfId="0" applyFont="1" applyFill="1" applyBorder="1" applyAlignment="1">
      <alignment horizontal="left" indent="3"/>
    </xf>
    <xf numFmtId="0" fontId="13" fillId="6" borderId="22" xfId="0" applyFont="1" applyFill="1" applyBorder="1" applyAlignment="1">
      <alignment horizontal="left" indent="3"/>
    </xf>
    <xf numFmtId="0" fontId="13" fillId="6" borderId="9" xfId="0" applyFont="1" applyFill="1" applyBorder="1" applyAlignment="1">
      <alignment horizontal="left" indent="3"/>
    </xf>
    <xf numFmtId="0" fontId="13" fillId="6" borderId="23" xfId="0" applyFont="1" applyFill="1" applyBorder="1" applyAlignment="1">
      <alignment horizontal="left" indent="3"/>
    </xf>
    <xf numFmtId="0" fontId="9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left" indent="3"/>
    </xf>
    <xf numFmtId="0" fontId="12" fillId="6" borderId="21" xfId="0" applyFont="1" applyFill="1" applyBorder="1" applyAlignment="1">
      <alignment horizontal="left" indent="3"/>
    </xf>
    <xf numFmtId="0" fontId="12" fillId="6" borderId="7" xfId="0" applyFont="1" applyFill="1" applyBorder="1" applyAlignment="1">
      <alignment horizontal="left" indent="3"/>
    </xf>
    <xf numFmtId="0" fontId="12" fillId="6" borderId="22" xfId="0" applyFont="1" applyFill="1" applyBorder="1" applyAlignment="1">
      <alignment horizontal="left" indent="3"/>
    </xf>
    <xf numFmtId="0" fontId="12" fillId="6" borderId="9" xfId="0" applyFont="1" applyFill="1" applyBorder="1" applyAlignment="1">
      <alignment horizontal="left" indent="3"/>
    </xf>
    <xf numFmtId="0" fontId="12" fillId="6" borderId="23" xfId="0" applyFont="1" applyFill="1" applyBorder="1" applyAlignment="1">
      <alignment horizontal="left" indent="3"/>
    </xf>
  </cellXfs>
  <cellStyles count="3">
    <cellStyle name="Hiperlink" xfId="2" builtinId="8"/>
    <cellStyle name="Neutro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Simulador!$D$42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89D-FB40-A0FF-03D26E5B1D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89D-FB40-A0FF-03D26E5B1D1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89D-FB40-A0FF-03D26E5B1D1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89D-FB40-A0FF-03D26E5B1D1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89D-FB40-A0FF-03D26E5B1D1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89D-FB40-A0FF-03D26E5B1D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2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Simulador!$B$43:$B$48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HIBRÍDOS</c:v>
                </c:pt>
                <c:pt idx="3">
                  <c:v>FOF'S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Simulador!$D$43:$D$48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BD-1C4B-87E5-8B852E1D2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1574800</xdr:colOff>
      <xdr:row>50</xdr:row>
      <xdr:rowOff>76200</xdr:rowOff>
    </xdr:from>
    <xdr:to>
      <xdr:col>3</xdr:col>
      <xdr:colOff>1130300</xdr:colOff>
      <xdr:row>66</xdr:row>
      <xdr:rowOff>50800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29C27BE8-9400-67A4-8D28-798D3C82D1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126999</xdr:colOff>
      <xdr:row>0</xdr:row>
      <xdr:rowOff>101600</xdr:rowOff>
    </xdr:from>
    <xdr:to>
      <xdr:col>5</xdr:col>
      <xdr:colOff>454776</xdr:colOff>
      <xdr:row>13</xdr:row>
      <xdr:rowOff>38100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3B5FDFF3-92D4-CB47-AAE3-85DD8EF2B133}"/>
            </a:ext>
          </a:extLst>
        </xdr:cNvPr>
        <xdr:cNvGrpSpPr>
          <a:grpSpLocks noChangeAspect="1"/>
        </xdr:cNvGrpSpPr>
      </xdr:nvGrpSpPr>
      <xdr:grpSpPr>
        <a:xfrm>
          <a:off x="126999" y="101600"/>
          <a:ext cx="9522577" cy="2578100"/>
          <a:chOff x="165100" y="88900"/>
          <a:chExt cx="8115300" cy="2197100"/>
        </a:xfrm>
      </xdr:grpSpPr>
      <xdr:sp macro="" textlink="">
        <xdr:nvSpPr>
          <xdr:cNvPr id="12" name="Retângulo Arredondado 11">
            <a:extLst>
              <a:ext uri="{FF2B5EF4-FFF2-40B4-BE49-F238E27FC236}">
                <a16:creationId xmlns:a16="http://schemas.microsoft.com/office/drawing/2014/main" id="{9B7FE692-F468-B983-FDEE-2EA112A562FF}"/>
              </a:ext>
            </a:extLst>
          </xdr:cNvPr>
          <xdr:cNvSpPr/>
        </xdr:nvSpPr>
        <xdr:spPr>
          <a:xfrm>
            <a:off x="165100" y="88900"/>
            <a:ext cx="8115300" cy="2197100"/>
          </a:xfrm>
          <a:prstGeom prst="roundRect">
            <a:avLst/>
          </a:prstGeom>
          <a:solidFill>
            <a:schemeClr val="tx1"/>
          </a:solidFill>
          <a:ln w="381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3" name="Retângulo Arredondado 12">
            <a:extLst>
              <a:ext uri="{FF2B5EF4-FFF2-40B4-BE49-F238E27FC236}">
                <a16:creationId xmlns:a16="http://schemas.microsoft.com/office/drawing/2014/main" id="{EFAB08D6-F192-7283-58C5-EE219D848CBF}"/>
              </a:ext>
            </a:extLst>
          </xdr:cNvPr>
          <xdr:cNvSpPr/>
        </xdr:nvSpPr>
        <xdr:spPr>
          <a:xfrm>
            <a:off x="279400" y="203200"/>
            <a:ext cx="7874000" cy="1968500"/>
          </a:xfrm>
          <a:prstGeom prst="roundRect">
            <a:avLst/>
          </a:prstGeom>
          <a:solidFill>
            <a:schemeClr val="accent1">
              <a:lumMod val="50000"/>
            </a:schemeClr>
          </a:solidFill>
          <a:ln w="38100">
            <a:solidFill>
              <a:schemeClr val="accent1">
                <a:lumMod val="50000"/>
              </a:schemeClr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4" name="CaixaDeTexto 13">
            <a:extLst>
              <a:ext uri="{FF2B5EF4-FFF2-40B4-BE49-F238E27FC236}">
                <a16:creationId xmlns:a16="http://schemas.microsoft.com/office/drawing/2014/main" id="{D37E7D57-B055-9BE2-3A1B-C7B3EF1E752F}"/>
              </a:ext>
            </a:extLst>
          </xdr:cNvPr>
          <xdr:cNvSpPr txBox="1"/>
        </xdr:nvSpPr>
        <xdr:spPr>
          <a:xfrm>
            <a:off x="254000" y="481734"/>
            <a:ext cx="7899400" cy="1778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0000" b="1" cap="none" spc="5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Calibri" panose="020F0502020204030204" pitchFamily="34" charset="0"/>
                <a:cs typeface="Calibri" panose="020F0502020204030204" pitchFamily="34" charset="0"/>
              </a:rPr>
              <a:t>SIMULYNVEST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digitalinnovationone/dio-agent" TargetMode="External"/><Relationship Id="rId1" Type="http://schemas.openxmlformats.org/officeDocument/2006/relationships/hyperlink" Target="https://hermes.dio.me/files/assets/a04b81b1-8e35-4e72-aeb9-98aed8ed4403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65D5A-0778-4C4E-AA0D-ECDAE26EEA2A}">
  <dimension ref="A15:G49"/>
  <sheetViews>
    <sheetView showGridLines="0" showRowColHeaders="0" tabSelected="1" zoomScaleNormal="100" workbookViewId="0">
      <selection sqref="A1:F67"/>
    </sheetView>
  </sheetViews>
  <sheetFormatPr baseColWidth="10" defaultColWidth="0" defaultRowHeight="16"/>
  <cols>
    <col min="1" max="1" width="6.1640625" customWidth="1"/>
    <col min="2" max="2" width="44.1640625" customWidth="1"/>
    <col min="3" max="3" width="31" customWidth="1"/>
    <col min="4" max="4" width="19.83203125" bestFit="1" customWidth="1"/>
    <col min="5" max="5" width="19.5" bestFit="1" customWidth="1"/>
    <col min="6" max="6" width="8.6640625" customWidth="1"/>
    <col min="7" max="7" width="20" hidden="1" customWidth="1"/>
    <col min="8" max="8" width="10.83203125" hidden="1" customWidth="1"/>
    <col min="9" max="16384" width="10.83203125" hidden="1"/>
  </cols>
  <sheetData>
    <row r="15" spans="2:5" ht="17" thickBot="1"/>
    <row r="16" spans="2:5" ht="28" thickTop="1">
      <c r="B16" s="62" t="s">
        <v>65</v>
      </c>
      <c r="C16" s="63"/>
      <c r="D16" s="63"/>
      <c r="E16" s="29"/>
    </row>
    <row r="17" spans="2:5">
      <c r="B17" s="64" t="s">
        <v>64</v>
      </c>
      <c r="C17" s="65"/>
      <c r="D17" s="65"/>
      <c r="E17" s="30">
        <v>5000</v>
      </c>
    </row>
    <row r="18" spans="2:5">
      <c r="B18" s="66" t="s">
        <v>63</v>
      </c>
      <c r="C18" s="67"/>
      <c r="D18" s="67"/>
      <c r="E18" s="31">
        <v>6.0000000000000001E-3</v>
      </c>
    </row>
    <row r="19" spans="2:5" ht="17" thickBot="1">
      <c r="B19" s="68" t="s">
        <v>86</v>
      </c>
      <c r="C19" s="69"/>
      <c r="D19" s="69"/>
      <c r="E19" s="35">
        <f>E17*30%</f>
        <v>1500</v>
      </c>
    </row>
    <row r="20" spans="2:5" ht="17" thickTop="1"/>
    <row r="21" spans="2:5" ht="17" thickBot="1"/>
    <row r="22" spans="2:5" ht="28" thickTop="1">
      <c r="B22" s="51" t="s">
        <v>57</v>
      </c>
      <c r="C22" s="52"/>
      <c r="D22" s="52"/>
      <c r="E22" s="53"/>
    </row>
    <row r="23" spans="2:5">
      <c r="B23" s="54" t="s">
        <v>55</v>
      </c>
      <c r="C23" s="55"/>
      <c r="D23" s="55"/>
      <c r="E23" s="23">
        <v>1260</v>
      </c>
    </row>
    <row r="24" spans="2:5">
      <c r="B24" s="56" t="s">
        <v>56</v>
      </c>
      <c r="C24" s="57"/>
      <c r="D24" s="57"/>
      <c r="E24" s="24">
        <v>5</v>
      </c>
    </row>
    <row r="25" spans="2:5">
      <c r="B25" s="56" t="s">
        <v>59</v>
      </c>
      <c r="C25" s="57"/>
      <c r="D25" s="57"/>
      <c r="E25" s="25">
        <v>1.0789999999999999E-2</v>
      </c>
    </row>
    <row r="26" spans="2:5">
      <c r="B26" s="58" t="s">
        <v>58</v>
      </c>
      <c r="C26" s="59"/>
      <c r="D26" s="59"/>
      <c r="E26" s="26">
        <f>FV(Taxa_mensal,Qty_anos*12,Aporte*-1)</f>
        <v>105558.91163809443</v>
      </c>
    </row>
    <row r="27" spans="2:5" ht="17" thickBot="1">
      <c r="B27" s="60" t="s">
        <v>62</v>
      </c>
      <c r="C27" s="61"/>
      <c r="D27" s="61"/>
      <c r="E27" s="27">
        <f>Patrimonio*Rendimento_Carteira</f>
        <v>633.35346982856663</v>
      </c>
    </row>
    <row r="28" spans="2:5" ht="17" thickTop="1"/>
    <row r="29" spans="2:5" ht="17" thickBot="1"/>
    <row r="30" spans="2:5" ht="28" thickTop="1">
      <c r="B30" s="28" t="s">
        <v>60</v>
      </c>
      <c r="C30" s="8"/>
      <c r="D30" s="8"/>
      <c r="E30" s="9"/>
    </row>
    <row r="31" spans="2:5" ht="27">
      <c r="B31" s="11"/>
      <c r="C31" s="12" t="s">
        <v>66</v>
      </c>
      <c r="D31" s="12" t="s">
        <v>67</v>
      </c>
      <c r="E31" s="13" t="s">
        <v>70</v>
      </c>
    </row>
    <row r="32" spans="2:5">
      <c r="B32" s="32" t="s">
        <v>61</v>
      </c>
      <c r="C32" s="14">
        <v>2</v>
      </c>
      <c r="D32" s="15">
        <f>FV($E$25,$C32*12,Aporte*-1)</f>
        <v>34306.810395032975</v>
      </c>
      <c r="E32" s="16">
        <f>D32*Rendimento_Carteira</f>
        <v>205.84086237019787</v>
      </c>
    </row>
    <row r="33" spans="2:5">
      <c r="B33" s="33" t="s">
        <v>61</v>
      </c>
      <c r="C33" s="17">
        <v>5</v>
      </c>
      <c r="D33" s="18">
        <f>FV($E$25,$C33*12,Aporte*-1)</f>
        <v>105558.91163809443</v>
      </c>
      <c r="E33" s="19">
        <f>D33*Rendimento_Carteira</f>
        <v>633.35346982856663</v>
      </c>
    </row>
    <row r="34" spans="2:5">
      <c r="B34" s="33" t="s">
        <v>61</v>
      </c>
      <c r="C34" s="17">
        <v>10</v>
      </c>
      <c r="D34" s="18">
        <f>FV($E$25,$C34*12,Aporte*-1)</f>
        <v>306538.10778801696</v>
      </c>
      <c r="E34" s="19">
        <f>D34*Rendimento_Carteira</f>
        <v>1839.2286467281017</v>
      </c>
    </row>
    <row r="35" spans="2:5">
      <c r="B35" s="33" t="s">
        <v>61</v>
      </c>
      <c r="C35" s="17">
        <v>20</v>
      </c>
      <c r="D35" s="18">
        <f>FV($E$25,$C35*12,Aporte*-1)</f>
        <v>1417749.9841223215</v>
      </c>
      <c r="E35" s="19">
        <f>D35*Rendimento_Carteira</f>
        <v>8506.4999047339297</v>
      </c>
    </row>
    <row r="36" spans="2:5" ht="17" thickBot="1">
      <c r="B36" s="34" t="s">
        <v>61</v>
      </c>
      <c r="C36" s="20">
        <v>30</v>
      </c>
      <c r="D36" s="21">
        <f>FV($E$25,$C36*12,Aporte*-1)</f>
        <v>5445933.7653059401</v>
      </c>
      <c r="E36" s="22">
        <f>D36*Rendimento_Carteira</f>
        <v>32675.602591835643</v>
      </c>
    </row>
    <row r="37" spans="2:5" ht="20" thickTop="1">
      <c r="E37" s="7"/>
    </row>
    <row r="39" spans="2:5">
      <c r="B39" s="36" t="s">
        <v>69</v>
      </c>
      <c r="C39" s="37"/>
      <c r="D39" s="37"/>
      <c r="E39" s="38" t="s">
        <v>71</v>
      </c>
    </row>
    <row r="40" spans="2:5">
      <c r="B40" s="44" t="s">
        <v>72</v>
      </c>
      <c r="C40" s="44"/>
      <c r="D40" s="44"/>
      <c r="E40" s="45">
        <f>Aporte</f>
        <v>1260</v>
      </c>
    </row>
    <row r="42" spans="2:5">
      <c r="B42" s="50" t="s">
        <v>77</v>
      </c>
      <c r="C42" s="50"/>
      <c r="D42" s="47" t="s">
        <v>73</v>
      </c>
      <c r="E42" s="47" t="s">
        <v>74</v>
      </c>
    </row>
    <row r="43" spans="2:5">
      <c r="B43" s="49" t="s">
        <v>75</v>
      </c>
      <c r="C43" s="49"/>
      <c r="D43" s="40">
        <f>VLOOKUP($E$39&amp;"-"&amp;B43,Dados_Procv!$A:$D,4,FALSE)</f>
        <v>0.32</v>
      </c>
      <c r="E43" s="39">
        <f>$E$40*D43</f>
        <v>403.2</v>
      </c>
    </row>
    <row r="44" spans="2:5">
      <c r="B44" s="49" t="s">
        <v>76</v>
      </c>
      <c r="C44" s="49"/>
      <c r="D44" s="40">
        <f>VLOOKUP($E$39&amp;"-"&amp;B44,Dados_Procv!$A:$D,4,FALSE)</f>
        <v>0.35</v>
      </c>
      <c r="E44" s="39">
        <f t="shared" ref="E44:E48" si="0">$E$40*D44</f>
        <v>441</v>
      </c>
    </row>
    <row r="45" spans="2:5">
      <c r="B45" s="49" t="s">
        <v>78</v>
      </c>
      <c r="C45" s="49"/>
      <c r="D45" s="40">
        <f>VLOOKUP($E$39&amp;"-"&amp;B45,Dados_Procv!$A:$D,4,FALSE)</f>
        <v>0.08</v>
      </c>
      <c r="E45" s="39">
        <f t="shared" si="0"/>
        <v>100.8</v>
      </c>
    </row>
    <row r="46" spans="2:5">
      <c r="B46" s="49" t="s">
        <v>79</v>
      </c>
      <c r="C46" s="49"/>
      <c r="D46" s="40">
        <f>VLOOKUP($E$39&amp;"-"&amp;B46,Dados_Procv!$A:$D,4,FALSE)</f>
        <v>0.05</v>
      </c>
      <c r="E46" s="39">
        <f t="shared" si="0"/>
        <v>63</v>
      </c>
    </row>
    <row r="47" spans="2:5">
      <c r="B47" s="49" t="s">
        <v>80</v>
      </c>
      <c r="C47" s="49"/>
      <c r="D47" s="40">
        <f>VLOOKUP($E$39&amp;"-"&amp;B47,Dados_Procv!$A:$D,4,FALSE)</f>
        <v>0.1</v>
      </c>
      <c r="E47" s="39">
        <f t="shared" si="0"/>
        <v>126</v>
      </c>
    </row>
    <row r="48" spans="2:5">
      <c r="B48" s="49" t="s">
        <v>81</v>
      </c>
      <c r="C48" s="49"/>
      <c r="D48" s="40">
        <f>VLOOKUP($E$39&amp;"-"&amp;B48,Dados_Procv!$A:$D,4,FALSE)</f>
        <v>0.1</v>
      </c>
      <c r="E48" s="39">
        <f t="shared" si="0"/>
        <v>126</v>
      </c>
    </row>
    <row r="49" spans="2:5">
      <c r="B49" s="46"/>
      <c r="C49" s="46"/>
      <c r="D49" s="47"/>
      <c r="E49" s="48">
        <f>SUM(E43:E48)</f>
        <v>1260</v>
      </c>
    </row>
  </sheetData>
  <mergeCells count="17">
    <mergeCell ref="B16:D16"/>
    <mergeCell ref="B17:D17"/>
    <mergeCell ref="B18:D18"/>
    <mergeCell ref="B19:D19"/>
    <mergeCell ref="B43:C43"/>
    <mergeCell ref="B42:C42"/>
    <mergeCell ref="B22:E22"/>
    <mergeCell ref="B23:D23"/>
    <mergeCell ref="B24:D24"/>
    <mergeCell ref="B25:D25"/>
    <mergeCell ref="B26:D26"/>
    <mergeCell ref="B27:D27"/>
    <mergeCell ref="B45:C45"/>
    <mergeCell ref="B46:C46"/>
    <mergeCell ref="B47:C47"/>
    <mergeCell ref="B48:C48"/>
    <mergeCell ref="B44:C44"/>
  </mergeCells>
  <dataValidations count="1">
    <dataValidation type="list" allowBlank="1" showInputMessage="1" showErrorMessage="1" sqref="E39" xr:uid="{7183F61D-6F48-C640-A74F-D6E3F29D94A0}">
      <formula1>"CONSERVADOR,MODERADO,AGRESSIVO,"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9C3A5-0DE2-CB4B-A4B8-BF8A10DB8DBF}">
  <dimension ref="A1:D19"/>
  <sheetViews>
    <sheetView showGridLines="0" workbookViewId="0">
      <selection activeCell="B26" sqref="B26"/>
    </sheetView>
  </sheetViews>
  <sheetFormatPr baseColWidth="10" defaultRowHeight="16"/>
  <cols>
    <col min="1" max="1" width="31.83203125" bestFit="1" customWidth="1"/>
    <col min="2" max="2" width="14.1640625" bestFit="1" customWidth="1"/>
    <col min="3" max="3" width="17.6640625" bestFit="1" customWidth="1"/>
  </cols>
  <sheetData>
    <row r="1" spans="1:4">
      <c r="A1" s="43" t="s">
        <v>84</v>
      </c>
      <c r="B1" s="43" t="s">
        <v>68</v>
      </c>
      <c r="C1" s="43" t="s">
        <v>77</v>
      </c>
      <c r="D1" s="43" t="s">
        <v>85</v>
      </c>
    </row>
    <row r="2" spans="1:4">
      <c r="A2" t="str">
        <f>B2&amp;"-"&amp;C2</f>
        <v>CONSERVADOR-PAPEL</v>
      </c>
      <c r="B2" t="s">
        <v>82</v>
      </c>
      <c r="C2" t="s">
        <v>75</v>
      </c>
      <c r="D2" s="10">
        <v>0.3</v>
      </c>
    </row>
    <row r="3" spans="1:4">
      <c r="A3" t="str">
        <f t="shared" ref="A3:A19" si="0">B3&amp;"-"&amp;C3</f>
        <v>CONSERVADOR-TIJOLO</v>
      </c>
      <c r="B3" t="s">
        <v>82</v>
      </c>
      <c r="C3" t="s">
        <v>76</v>
      </c>
      <c r="D3" s="10">
        <v>0.5</v>
      </c>
    </row>
    <row r="4" spans="1:4">
      <c r="A4" t="str">
        <f t="shared" si="0"/>
        <v>CONSERVADOR-HIBRÍDOS</v>
      </c>
      <c r="B4" t="s">
        <v>82</v>
      </c>
      <c r="C4" t="s">
        <v>78</v>
      </c>
      <c r="D4" s="10">
        <v>0.1</v>
      </c>
    </row>
    <row r="5" spans="1:4">
      <c r="A5" t="str">
        <f t="shared" si="0"/>
        <v>CONSERVADOR-FOF'S</v>
      </c>
      <c r="B5" t="s">
        <v>82</v>
      </c>
      <c r="C5" t="s">
        <v>79</v>
      </c>
      <c r="D5" s="10">
        <v>0.1</v>
      </c>
    </row>
    <row r="6" spans="1:4">
      <c r="A6" t="str">
        <f t="shared" si="0"/>
        <v>CONSERVADOR-DESENVOLVIMENTO</v>
      </c>
      <c r="B6" t="s">
        <v>82</v>
      </c>
      <c r="C6" t="s">
        <v>80</v>
      </c>
      <c r="D6" s="10">
        <v>0</v>
      </c>
    </row>
    <row r="7" spans="1:4" ht="17" thickBot="1">
      <c r="A7" s="41" t="str">
        <f t="shared" si="0"/>
        <v>CONSERVADOR-HOTELARIAS</v>
      </c>
      <c r="B7" s="41" t="s">
        <v>82</v>
      </c>
      <c r="C7" s="41" t="s">
        <v>81</v>
      </c>
      <c r="D7" s="42">
        <v>0</v>
      </c>
    </row>
    <row r="8" spans="1:4">
      <c r="A8" t="str">
        <f t="shared" si="0"/>
        <v>MODERADO-PAPEL</v>
      </c>
      <c r="B8" t="s">
        <v>71</v>
      </c>
      <c r="C8" t="s">
        <v>75</v>
      </c>
      <c r="D8" s="10">
        <v>0.32</v>
      </c>
    </row>
    <row r="9" spans="1:4">
      <c r="A9" t="str">
        <f t="shared" si="0"/>
        <v>MODERADO-TIJOLO</v>
      </c>
      <c r="B9" t="s">
        <v>71</v>
      </c>
      <c r="C9" t="s">
        <v>76</v>
      </c>
      <c r="D9" s="10">
        <v>0.35</v>
      </c>
    </row>
    <row r="10" spans="1:4">
      <c r="A10" t="str">
        <f t="shared" si="0"/>
        <v>MODERADO-HIBRÍDOS</v>
      </c>
      <c r="B10" t="s">
        <v>71</v>
      </c>
      <c r="C10" t="s">
        <v>78</v>
      </c>
      <c r="D10" s="10">
        <v>0.08</v>
      </c>
    </row>
    <row r="11" spans="1:4">
      <c r="A11" t="str">
        <f t="shared" si="0"/>
        <v>MODERADO-FOF'S</v>
      </c>
      <c r="B11" t="s">
        <v>71</v>
      </c>
      <c r="C11" t="s">
        <v>79</v>
      </c>
      <c r="D11" s="10">
        <v>0.05</v>
      </c>
    </row>
    <row r="12" spans="1:4">
      <c r="A12" t="str">
        <f t="shared" si="0"/>
        <v>MODERADO-DESENVOLVIMENTO</v>
      </c>
      <c r="B12" t="s">
        <v>71</v>
      </c>
      <c r="C12" t="s">
        <v>80</v>
      </c>
      <c r="D12" s="10">
        <v>0.1</v>
      </c>
    </row>
    <row r="13" spans="1:4" ht="17" thickBot="1">
      <c r="A13" s="41" t="str">
        <f t="shared" si="0"/>
        <v>MODERADO-HOTELARIAS</v>
      </c>
      <c r="B13" s="41" t="s">
        <v>71</v>
      </c>
      <c r="C13" s="41" t="s">
        <v>81</v>
      </c>
      <c r="D13" s="42">
        <v>0.1</v>
      </c>
    </row>
    <row r="14" spans="1:4">
      <c r="A14" t="str">
        <f t="shared" si="0"/>
        <v>AGRESSIVO-PAPEL</v>
      </c>
      <c r="B14" t="s">
        <v>83</v>
      </c>
      <c r="C14" t="s">
        <v>75</v>
      </c>
      <c r="D14" s="10">
        <v>0.5</v>
      </c>
    </row>
    <row r="15" spans="1:4">
      <c r="A15" t="str">
        <f t="shared" si="0"/>
        <v>AGRESSIVO-TIJOLO</v>
      </c>
      <c r="B15" t="s">
        <v>83</v>
      </c>
      <c r="C15" t="s">
        <v>76</v>
      </c>
      <c r="D15" s="10">
        <v>0.1</v>
      </c>
    </row>
    <row r="16" spans="1:4">
      <c r="A16" t="str">
        <f t="shared" si="0"/>
        <v>AGRESSIVO-HIBRÍDOS</v>
      </c>
      <c r="B16" t="s">
        <v>83</v>
      </c>
      <c r="C16" t="s">
        <v>78</v>
      </c>
      <c r="D16" s="10">
        <v>0.05</v>
      </c>
    </row>
    <row r="17" spans="1:4">
      <c r="A17" t="str">
        <f t="shared" si="0"/>
        <v>AGRESSIVO-FOF'S</v>
      </c>
      <c r="B17" t="s">
        <v>83</v>
      </c>
      <c r="C17" t="s">
        <v>79</v>
      </c>
      <c r="D17" s="10">
        <v>0.05</v>
      </c>
    </row>
    <row r="18" spans="1:4">
      <c r="A18" t="str">
        <f t="shared" si="0"/>
        <v>AGRESSIVO-DESENVOLVIMENTO</v>
      </c>
      <c r="B18" t="s">
        <v>83</v>
      </c>
      <c r="C18" t="s">
        <v>80</v>
      </c>
      <c r="D18" s="10">
        <v>0.2</v>
      </c>
    </row>
    <row r="19" spans="1:4">
      <c r="A19" t="str">
        <f t="shared" si="0"/>
        <v>AGRESSIVO-HOTELARIAS</v>
      </c>
      <c r="B19" t="s">
        <v>83</v>
      </c>
      <c r="C19" t="s">
        <v>81</v>
      </c>
      <c r="D19" s="10">
        <v>0.1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025C3-340A-0741-A9C7-EF5C50BA052B}">
  <dimension ref="A1:A83"/>
  <sheetViews>
    <sheetView topLeftCell="A63" workbookViewId="0">
      <selection activeCell="F85" sqref="F85"/>
    </sheetView>
  </sheetViews>
  <sheetFormatPr baseColWidth="10" defaultRowHeight="16"/>
  <sheetData>
    <row r="1" spans="1:1" ht="30">
      <c r="A1" s="1" t="s">
        <v>0</v>
      </c>
    </row>
    <row r="3" spans="1:1" ht="18">
      <c r="A3" s="2" t="s">
        <v>1</v>
      </c>
    </row>
    <row r="5" spans="1:1" ht="18">
      <c r="A5" s="2" t="s">
        <v>2</v>
      </c>
    </row>
    <row r="7" spans="1:1" ht="23">
      <c r="A7" s="3" t="s">
        <v>3</v>
      </c>
    </row>
    <row r="9" spans="1:1" ht="18">
      <c r="A9" s="2" t="s">
        <v>4</v>
      </c>
    </row>
    <row r="11" spans="1:1" ht="18">
      <c r="A11" s="2" t="s">
        <v>5</v>
      </c>
    </row>
    <row r="12" spans="1:1" ht="18">
      <c r="A12" s="2" t="s">
        <v>6</v>
      </c>
    </row>
    <row r="13" spans="1:1" ht="18">
      <c r="A13" s="2" t="s">
        <v>7</v>
      </c>
    </row>
    <row r="14" spans="1:1" ht="18">
      <c r="A14" s="2" t="s">
        <v>8</v>
      </c>
    </row>
    <row r="15" spans="1:1" ht="18">
      <c r="A15" s="2" t="s">
        <v>9</v>
      </c>
    </row>
    <row r="17" spans="1:1" ht="18">
      <c r="A17" s="2" t="s">
        <v>10</v>
      </c>
    </row>
    <row r="19" spans="1:1" ht="23">
      <c r="A19" s="3" t="s">
        <v>11</v>
      </c>
    </row>
    <row r="21" spans="1:1" ht="18">
      <c r="A21" s="2" t="s">
        <v>12</v>
      </c>
    </row>
    <row r="23" spans="1:1" ht="18">
      <c r="A23" s="4" t="s">
        <v>13</v>
      </c>
    </row>
    <row r="24" spans="1:1" ht="18">
      <c r="A24" s="4" t="s">
        <v>14</v>
      </c>
    </row>
    <row r="25" spans="1:1" ht="18">
      <c r="A25" s="4" t="s">
        <v>15</v>
      </c>
    </row>
    <row r="26" spans="1:1" ht="18">
      <c r="A26" s="4" t="s">
        <v>16</v>
      </c>
    </row>
    <row r="27" spans="1:1" ht="18">
      <c r="A27" s="4" t="s">
        <v>17</v>
      </c>
    </row>
    <row r="29" spans="1:1" ht="18">
      <c r="A29" s="2" t="s">
        <v>18</v>
      </c>
    </row>
    <row r="31" spans="1:1">
      <c r="A31" s="5" t="s">
        <v>19</v>
      </c>
    </row>
    <row r="33" spans="1:1" ht="23">
      <c r="A33" s="3" t="s">
        <v>20</v>
      </c>
    </row>
    <row r="35" spans="1:1" ht="18">
      <c r="A35" s="2" t="s">
        <v>21</v>
      </c>
    </row>
    <row r="36" spans="1:1" ht="18">
      <c r="A36" s="2" t="s">
        <v>22</v>
      </c>
    </row>
    <row r="37" spans="1:1" ht="18">
      <c r="A37" s="2" t="s">
        <v>23</v>
      </c>
    </row>
    <row r="38" spans="1:1" ht="18">
      <c r="A38" s="2" t="s">
        <v>24</v>
      </c>
    </row>
    <row r="39" spans="1:1" ht="18">
      <c r="A39" s="2" t="s">
        <v>25</v>
      </c>
    </row>
    <row r="41" spans="1:1" ht="18">
      <c r="A41" s="2" t="s">
        <v>26</v>
      </c>
    </row>
    <row r="43" spans="1:1" ht="23">
      <c r="A43" s="3" t="s">
        <v>27</v>
      </c>
    </row>
    <row r="45" spans="1:1">
      <c r="A45" s="5" t="s">
        <v>28</v>
      </c>
    </row>
    <row r="47" spans="1:1">
      <c r="A47" s="6" t="s">
        <v>29</v>
      </c>
    </row>
    <row r="48" spans="1:1">
      <c r="A48" s="6" t="s">
        <v>30</v>
      </c>
    </row>
    <row r="49" spans="1:1">
      <c r="A49" s="6" t="s">
        <v>31</v>
      </c>
    </row>
    <row r="51" spans="1:1">
      <c r="A51" s="6" t="s">
        <v>32</v>
      </c>
    </row>
    <row r="52" spans="1:1">
      <c r="A52" s="6" t="s">
        <v>33</v>
      </c>
    </row>
    <row r="53" spans="1:1">
      <c r="A53" s="6" t="s">
        <v>34</v>
      </c>
    </row>
    <row r="55" spans="1:1">
      <c r="A55" s="6" t="s">
        <v>35</v>
      </c>
    </row>
    <row r="56" spans="1:1">
      <c r="A56" s="6" t="s">
        <v>36</v>
      </c>
    </row>
    <row r="58" spans="1:1" ht="23">
      <c r="A58" s="3" t="s">
        <v>37</v>
      </c>
    </row>
    <row r="60" spans="1:1" ht="18">
      <c r="A60" s="2" t="s">
        <v>38</v>
      </c>
    </row>
    <row r="62" spans="1:1" ht="18">
      <c r="A62" s="2" t="s">
        <v>39</v>
      </c>
    </row>
    <row r="63" spans="1:1" ht="18">
      <c r="A63" s="2" t="s">
        <v>40</v>
      </c>
    </row>
    <row r="64" spans="1:1" ht="18">
      <c r="A64" s="2" t="s">
        <v>41</v>
      </c>
    </row>
    <row r="65" spans="1:1" ht="18">
      <c r="A65" s="2" t="s">
        <v>42</v>
      </c>
    </row>
    <row r="66" spans="1:1" ht="18">
      <c r="A66" s="2" t="s">
        <v>43</v>
      </c>
    </row>
    <row r="68" spans="1:1" ht="18">
      <c r="A68" s="2" t="s">
        <v>44</v>
      </c>
    </row>
    <row r="70" spans="1:1" ht="18">
      <c r="A70" s="2" t="s">
        <v>45</v>
      </c>
    </row>
    <row r="72" spans="1:1" ht="18">
      <c r="A72" s="2" t="s">
        <v>46</v>
      </c>
    </row>
    <row r="73" spans="1:1" ht="18">
      <c r="A73" s="2" t="s">
        <v>47</v>
      </c>
    </row>
    <row r="74" spans="1:1" ht="18">
      <c r="A74" s="2" t="s">
        <v>48</v>
      </c>
    </row>
    <row r="75" spans="1:1" ht="18">
      <c r="A75" s="2" t="s">
        <v>49</v>
      </c>
    </row>
    <row r="76" spans="1:1" ht="18">
      <c r="A76" s="2" t="s">
        <v>50</v>
      </c>
    </row>
    <row r="77" spans="1:1" ht="18">
      <c r="A77" s="2" t="s">
        <v>51</v>
      </c>
    </row>
    <row r="79" spans="1:1" ht="23">
      <c r="A79" s="3" t="s">
        <v>52</v>
      </c>
    </row>
    <row r="81" spans="1:1" ht="18">
      <c r="A81" s="2" t="s">
        <v>53</v>
      </c>
    </row>
    <row r="83" spans="1:1" ht="18">
      <c r="A83" s="2" t="s">
        <v>54</v>
      </c>
    </row>
  </sheetData>
  <hyperlinks>
    <hyperlink ref="A31" r:id="rId1" display="https://hermes.dio.me/files/assets/a04b81b1-8e35-4e72-aeb9-98aed8ed4403.xlsx" xr:uid="{611FCF32-ACF6-134C-BB04-6CF68F1D2478}"/>
    <hyperlink ref="A45" r:id="rId2" display="https://github.com/digitalinnovationone/dio-agent" xr:uid="{D5685B43-8F70-0248-95A0-680F4BE5100C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7</vt:i4>
      </vt:variant>
    </vt:vector>
  </HeadingPairs>
  <TitlesOfParts>
    <vt:vector size="10" baseType="lpstr">
      <vt:lpstr>Simulador</vt:lpstr>
      <vt:lpstr>Dados_Procv</vt:lpstr>
      <vt:lpstr>Orientações do Projeto</vt:lpstr>
      <vt:lpstr>Aporte</vt:lpstr>
      <vt:lpstr>Patrimonio</vt:lpstr>
      <vt:lpstr>Qty_anos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lycia ferreira</dc:creator>
  <cp:lastModifiedBy>lycia ferreira</cp:lastModifiedBy>
  <dcterms:created xsi:type="dcterms:W3CDTF">2026-10-09T20:19:44Z</dcterms:created>
  <dcterms:modified xsi:type="dcterms:W3CDTF">2026-10-12T22:16:15Z</dcterms:modified>
</cp:coreProperties>
</file>